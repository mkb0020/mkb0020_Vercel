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mkb00\PROJECTS\GitRepos\mkb0020-Vercel\static\templates\"/>
    </mc:Choice>
  </mc:AlternateContent>
  <xr:revisionPtr revIDLastSave="0" documentId="13_ncr:1_{CFC7DC49-68AD-4DEC-8274-2F59EE5FA91E}" xr6:coauthVersionLast="47" xr6:coauthVersionMax="47" xr10:uidLastSave="{00000000-0000-0000-0000-000000000000}"/>
  <bookViews>
    <workbookView xWindow="19090" yWindow="-110" windowWidth="19420" windowHeight="10300" xr2:uid="{A5EC922C-524D-4274-B1B7-4F37FFE75EC6}"/>
  </bookViews>
  <sheets>
    <sheet name="Summary" sheetId="5" r:id="rId1"/>
    <sheet name="SIGMA-001" sheetId="4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6" i="4" l="1"/>
  <c r="N6" i="4"/>
  <c r="M7" i="4"/>
  <c r="N7" i="4"/>
  <c r="M11" i="4"/>
  <c r="N11" i="4"/>
  <c r="M12" i="4"/>
  <c r="N12" i="4"/>
  <c r="M14" i="4"/>
  <c r="N14" i="4"/>
  <c r="M15" i="4"/>
  <c r="N15" i="4"/>
  <c r="M16" i="4"/>
  <c r="N16" i="4"/>
  <c r="M17" i="4"/>
  <c r="N17" i="4"/>
  <c r="M19" i="4"/>
  <c r="N19" i="4"/>
  <c r="M20" i="4"/>
  <c r="N20" i="4"/>
  <c r="M21" i="4"/>
  <c r="N21" i="4"/>
  <c r="M22" i="4"/>
  <c r="N22" i="4"/>
  <c r="M23" i="4"/>
  <c r="N23" i="4"/>
  <c r="M24" i="4"/>
  <c r="N24" i="4"/>
  <c r="S9" i="4"/>
  <c r="T9" i="4"/>
  <c r="S10" i="4"/>
  <c r="T10" i="4"/>
  <c r="S11" i="4"/>
  <c r="T11" i="4"/>
  <c r="S12" i="4"/>
  <c r="T12" i="4"/>
  <c r="J12" i="4" s="1"/>
  <c r="S14" i="4"/>
  <c r="T14" i="4"/>
  <c r="S15" i="4"/>
  <c r="T15" i="4"/>
  <c r="S16" i="4"/>
  <c r="T16" i="4"/>
  <c r="S17" i="4"/>
  <c r="T17" i="4"/>
  <c r="S19" i="4"/>
  <c r="T19" i="4"/>
  <c r="S20" i="4"/>
  <c r="T20" i="4"/>
  <c r="S21" i="4"/>
  <c r="T21" i="4"/>
  <c r="S22" i="4"/>
  <c r="T22" i="4"/>
  <c r="S23" i="4"/>
  <c r="T23" i="4"/>
  <c r="S24" i="4"/>
  <c r="T24" i="4"/>
  <c r="S3" i="4"/>
  <c r="T3" i="4"/>
  <c r="S4" i="4"/>
  <c r="T4" i="4"/>
  <c r="S5" i="4"/>
  <c r="T5" i="4"/>
  <c r="S6" i="4"/>
  <c r="T6" i="4"/>
  <c r="S7" i="4"/>
  <c r="T7" i="4"/>
  <c r="T2" i="4"/>
  <c r="S2" i="4"/>
  <c r="R5" i="4"/>
  <c r="O5" i="4"/>
  <c r="J5" i="4" s="1"/>
  <c r="D5" i="4"/>
  <c r="M5" i="4" s="1"/>
  <c r="R24" i="4"/>
  <c r="O24" i="4"/>
  <c r="D24" i="4"/>
  <c r="L24" i="4" s="1"/>
  <c r="R23" i="4"/>
  <c r="O23" i="4"/>
  <c r="D23" i="4"/>
  <c r="R22" i="4"/>
  <c r="O22" i="4"/>
  <c r="D22" i="4"/>
  <c r="R17" i="4"/>
  <c r="O17" i="4"/>
  <c r="D17" i="4"/>
  <c r="R11" i="4"/>
  <c r="O11" i="4"/>
  <c r="D11" i="4"/>
  <c r="R12" i="4"/>
  <c r="D12" i="4"/>
  <c r="R9" i="4"/>
  <c r="O9" i="4"/>
  <c r="D9" i="4"/>
  <c r="M9" i="4" s="1"/>
  <c r="R7" i="4"/>
  <c r="O7" i="4"/>
  <c r="D7" i="4"/>
  <c r="L5" i="4" l="1"/>
  <c r="I7" i="4"/>
  <c r="L11" i="4"/>
  <c r="L23" i="4"/>
  <c r="N5" i="4"/>
  <c r="L22" i="4"/>
  <c r="N9" i="4"/>
  <c r="K5" i="4"/>
  <c r="I5" i="4"/>
  <c r="J11" i="4"/>
  <c r="I17" i="4"/>
  <c r="J24" i="4"/>
  <c r="I23" i="4"/>
  <c r="J22" i="4"/>
  <c r="J9" i="4"/>
  <c r="J23" i="4"/>
  <c r="I24" i="4"/>
  <c r="K24" i="4"/>
  <c r="K23" i="4"/>
  <c r="K22" i="4"/>
  <c r="I22" i="4"/>
  <c r="L17" i="4"/>
  <c r="J17" i="4"/>
  <c r="K17" i="4"/>
  <c r="K11" i="4"/>
  <c r="K12" i="4"/>
  <c r="L12" i="4"/>
  <c r="I11" i="4"/>
  <c r="I12" i="4"/>
  <c r="K9" i="4"/>
  <c r="I9" i="4"/>
  <c r="L9" i="4"/>
  <c r="J7" i="4"/>
  <c r="K7" i="4"/>
  <c r="L7" i="4"/>
  <c r="R21" i="4" l="1"/>
  <c r="O21" i="4"/>
  <c r="J21" i="4" s="1"/>
  <c r="D21" i="4"/>
  <c r="R20" i="4"/>
  <c r="O20" i="4"/>
  <c r="J20" i="4" s="1"/>
  <c r="D20" i="4"/>
  <c r="R19" i="4"/>
  <c r="O19" i="4"/>
  <c r="J19" i="4" s="1"/>
  <c r="D19" i="4"/>
  <c r="R16" i="4"/>
  <c r="O16" i="4"/>
  <c r="J16" i="4" s="1"/>
  <c r="D16" i="4"/>
  <c r="L16" i="4" s="1"/>
  <c r="R15" i="4"/>
  <c r="O15" i="4"/>
  <c r="J15" i="4" s="1"/>
  <c r="D15" i="4"/>
  <c r="L15" i="4" s="1"/>
  <c r="R14" i="4"/>
  <c r="O14" i="4"/>
  <c r="D14" i="4"/>
  <c r="R10" i="4"/>
  <c r="O10" i="4"/>
  <c r="D10" i="4"/>
  <c r="R3" i="4"/>
  <c r="O3" i="4"/>
  <c r="J3" i="4" s="1"/>
  <c r="D3" i="4"/>
  <c r="R6" i="4"/>
  <c r="O6" i="4"/>
  <c r="J6" i="4" s="1"/>
  <c r="D6" i="4"/>
  <c r="R4" i="4"/>
  <c r="O4" i="4"/>
  <c r="I4" i="4" s="1"/>
  <c r="D4" i="4"/>
  <c r="R2" i="4"/>
  <c r="O2" i="4"/>
  <c r="J2" i="4" s="1"/>
  <c r="D2" i="4"/>
  <c r="C15" i="5"/>
  <c r="B15" i="5"/>
  <c r="L6" i="4" l="1"/>
  <c r="N2" i="4"/>
  <c r="M2" i="4"/>
  <c r="M3" i="4"/>
  <c r="N3" i="4"/>
  <c r="M4" i="4"/>
  <c r="N4" i="4"/>
  <c r="M10" i="4"/>
  <c r="N10" i="4"/>
  <c r="L20" i="4"/>
  <c r="L4" i="4"/>
  <c r="L21" i="4"/>
  <c r="L14" i="4"/>
  <c r="K19" i="4"/>
  <c r="K20" i="4"/>
  <c r="I16" i="4"/>
  <c r="I19" i="4"/>
  <c r="I20" i="4"/>
  <c r="I15" i="4"/>
  <c r="J14" i="4"/>
  <c r="L19" i="4"/>
  <c r="K14" i="4"/>
  <c r="I14" i="4"/>
  <c r="K16" i="4"/>
  <c r="K15" i="4"/>
  <c r="I21" i="4"/>
  <c r="K21" i="4"/>
  <c r="K6" i="4"/>
  <c r="J4" i="4"/>
  <c r="I3" i="4"/>
  <c r="K2" i="4"/>
  <c r="I2" i="4"/>
  <c r="L2" i="4"/>
  <c r="K4" i="4"/>
  <c r="K3" i="4"/>
  <c r="J10" i="4"/>
  <c r="L3" i="4"/>
  <c r="K10" i="4"/>
  <c r="I6" i="4"/>
  <c r="I10" i="4"/>
  <c r="L10" i="4"/>
</calcChain>
</file>

<file path=xl/sharedStrings.xml><?xml version="1.0" encoding="utf-8"?>
<sst xmlns="http://schemas.openxmlformats.org/spreadsheetml/2006/main" count="150" uniqueCount="90">
  <si>
    <t>SKU</t>
  </si>
  <si>
    <t>Discount (%)</t>
  </si>
  <si>
    <t>Remaining Duration (Months)</t>
  </si>
  <si>
    <t>Subscription ID</t>
  </si>
  <si>
    <t>Report Date</t>
  </si>
  <si>
    <t>Start Date</t>
  </si>
  <si>
    <t>End Date</t>
  </si>
  <si>
    <t>Customer</t>
  </si>
  <si>
    <t>PACKAGES</t>
  </si>
  <si>
    <t>PACKAGE NAME</t>
  </si>
  <si>
    <t>Delta</t>
  </si>
  <si>
    <t>Actual Deployment</t>
  </si>
  <si>
    <t>Original Purchase</t>
  </si>
  <si>
    <t>Annual True Delta</t>
  </si>
  <si>
    <t>True Delta Cost</t>
  </si>
  <si>
    <t>Actual Usage Cost</t>
  </si>
  <si>
    <t>Original Cost</t>
  </si>
  <si>
    <t>Distributor Net Cost</t>
  </si>
  <si>
    <t>Total Duration (Months)</t>
  </si>
  <si>
    <t>Tier</t>
  </si>
  <si>
    <t>NETWORK</t>
  </si>
  <si>
    <t xml:space="preserve">OrionMesh       </t>
  </si>
  <si>
    <t>SIG-NET-OM</t>
  </si>
  <si>
    <t>ALPHA</t>
  </si>
  <si>
    <t xml:space="preserve">LyraBridge      </t>
  </si>
  <si>
    <t>SIG-NET-LB</t>
  </si>
  <si>
    <t>BETA</t>
  </si>
  <si>
    <t xml:space="preserve">PoseidonTunnel  </t>
  </si>
  <si>
    <t>SIG-NET-PT</t>
  </si>
  <si>
    <t>Procurement Plan</t>
  </si>
  <si>
    <t>Sigma ID</t>
  </si>
  <si>
    <t>Next True Delta Date</t>
  </si>
  <si>
    <t>Agreement Duration in Months</t>
  </si>
  <si>
    <t>Remaining Duration in Months</t>
  </si>
  <si>
    <t>True Delta Cost (USD)</t>
  </si>
  <si>
    <t>Package Name</t>
  </si>
  <si>
    <t>Usage (%)</t>
  </si>
  <si>
    <t>PRODUCT</t>
  </si>
  <si>
    <t>PSI Account</t>
  </si>
  <si>
    <t>**** THIS IS NOT AN ACTUAL REPORT AND IT DOES NOT CONTAIN REAL CUSTOMER OR RESELLER INFORMATION ****</t>
  </si>
  <si>
    <t xml:space="preserve">ZephyrusWave    </t>
  </si>
  <si>
    <t>SIG-NET-ZW</t>
  </si>
  <si>
    <t>CYBER SECURITY</t>
  </si>
  <si>
    <t xml:space="preserve">CyclopsShield   </t>
  </si>
  <si>
    <t>SIG-CS-CS</t>
  </si>
  <si>
    <t>Delta Cost</t>
  </si>
  <si>
    <t>Unit List Price</t>
  </si>
  <si>
    <t xml:space="preserve">Kratos Motors </t>
  </si>
  <si>
    <t>kratosmotors.com</t>
  </si>
  <si>
    <t>COMMUNICATIONS</t>
  </si>
  <si>
    <t xml:space="preserve">ZenLink    </t>
  </si>
  <si>
    <t>SIG-COM-ZL</t>
  </si>
  <si>
    <t xml:space="preserve">SkyForge     </t>
  </si>
  <si>
    <t>SIG-COM-SF</t>
  </si>
  <si>
    <t xml:space="preserve">NeoNimbus    </t>
  </si>
  <si>
    <t>SIG-COM-NN</t>
  </si>
  <si>
    <t>DATA</t>
  </si>
  <si>
    <t>StarVault</t>
  </si>
  <si>
    <t>SIG-DATA-SV</t>
  </si>
  <si>
    <t xml:space="preserve">ApolloGrid      </t>
  </si>
  <si>
    <t>SIG-DATA-AG</t>
  </si>
  <si>
    <t xml:space="preserve">IcarusDrift     </t>
  </si>
  <si>
    <t>SIG-DATA-ID</t>
  </si>
  <si>
    <t xml:space="preserve">ThalosNet    </t>
  </si>
  <si>
    <t>SIG-NET-TN</t>
  </si>
  <si>
    <t xml:space="preserve">ZenosPath    </t>
  </si>
  <si>
    <t>SIG-NET-ZP</t>
  </si>
  <si>
    <t xml:space="preserve">EchoSphere  </t>
  </si>
  <si>
    <t>SIG-CS-ES</t>
  </si>
  <si>
    <t xml:space="preserve">IonPulse   </t>
  </si>
  <si>
    <t>SIG-CS-IP</t>
  </si>
  <si>
    <t xml:space="preserve">OmniWeave    </t>
  </si>
  <si>
    <t>SIG-CS-OW</t>
  </si>
  <si>
    <t xml:space="preserve">HestiaConnect   </t>
  </si>
  <si>
    <t>SIG-COM-HC</t>
  </si>
  <si>
    <t>SkyMatrix</t>
  </si>
  <si>
    <t>SIG-DATA-SM</t>
  </si>
  <si>
    <t xml:space="preserve">NovaStream   </t>
  </si>
  <si>
    <t>SIG-DATA-NS</t>
  </si>
  <si>
    <t xml:space="preserve">HyperVox     </t>
  </si>
  <si>
    <t>SIG-DATA-HV</t>
  </si>
  <si>
    <t>SIGMA-001</t>
  </si>
  <si>
    <t>PSI-000036</t>
  </si>
  <si>
    <t>License Shift Additional QTY</t>
  </si>
  <si>
    <t>License Shift  Returned QTY</t>
  </si>
  <si>
    <t>Allocation Exceeded</t>
  </si>
  <si>
    <t>Adjustment</t>
  </si>
  <si>
    <t>Usage Category</t>
  </si>
  <si>
    <t>YES</t>
  </si>
  <si>
    <t>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</si>
</sst>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</font>
    <font>
      <b/>
      <sz val="11"/>
      <color theme="1"/>
      <name val="Calibri"/>
      <family val="2"/>
    </font>
    <font>
      <b/>
      <sz val="16"/>
      <color rgb="FFFF0000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rgb="FFFF0000"/>
      <name val="Aptos Narrow"/>
      <family val="2"/>
    </font>
    <font>
      <sz val="11"/>
      <name val="Aptos Narrow"/>
      <family val="2"/>
    </font>
    <font>
      <b/>
      <sz val="11"/>
      <name val="Calibri"/>
      <family val="2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0" borderId="0" xfId="0" applyFont="1" applyAlignment="1">
      <alignment wrapText="1"/>
    </xf>
    <xf numFmtId="4" fontId="1" fillId="0" borderId="0" xfId="0" applyNumberFormat="1" applyFont="1" applyAlignment="1">
      <alignment horizontal="right" wrapText="1"/>
    </xf>
    <xf numFmtId="0" fontId="6" fillId="0" borderId="0" xfId="0" applyFont="1" applyAlignment="1">
      <alignment horizontal="right" wrapText="1"/>
    </xf>
    <xf numFmtId="0" fontId="1" fillId="0" borderId="0" xfId="0" applyFont="1" applyAlignment="1">
      <alignment horizontal="right" wrapText="1"/>
    </xf>
    <xf numFmtId="0" fontId="6" fillId="0" borderId="0" xfId="0" applyFont="1" applyAlignment="1">
      <alignment horizontal="left" vertical="center" wrapText="1"/>
    </xf>
    <xf numFmtId="0" fontId="8" fillId="0" borderId="0" xfId="0" applyFont="1"/>
    <xf numFmtId="4" fontId="6" fillId="0" borderId="0" xfId="0" applyNumberFormat="1" applyFont="1" applyAlignment="1">
      <alignment horizontal="right" wrapText="1"/>
    </xf>
    <xf numFmtId="2" fontId="6" fillId="0" borderId="0" xfId="0" applyNumberFormat="1" applyFont="1" applyAlignment="1">
      <alignment horizontal="right" wrapText="1"/>
    </xf>
    <xf numFmtId="0" fontId="6" fillId="0" borderId="0" xfId="0" applyFont="1" applyAlignment="1">
      <alignment wrapText="1"/>
    </xf>
    <xf numFmtId="0" fontId="2" fillId="0" borderId="0" xfId="0" applyFont="1" applyAlignment="1">
      <alignment wrapText="1"/>
    </xf>
    <xf numFmtId="0" fontId="2" fillId="0" borderId="0" xfId="0" applyFont="1" applyAlignment="1">
      <alignment horizontal="right" wrapText="1"/>
    </xf>
    <xf numFmtId="15" fontId="1" fillId="0" borderId="0" xfId="0" applyNumberFormat="1" applyFont="1" applyAlignment="1">
      <alignment horizontal="right" wrapText="1"/>
    </xf>
    <xf numFmtId="15" fontId="1" fillId="0" borderId="0" xfId="0" applyNumberFormat="1" applyFont="1" applyAlignment="1">
      <alignment wrapText="1"/>
    </xf>
    <xf numFmtId="1" fontId="5" fillId="0" borderId="0" xfId="0" applyNumberFormat="1" applyFont="1" applyAlignment="1">
      <alignment wrapText="1"/>
    </xf>
    <xf numFmtId="0" fontId="3" fillId="0" borderId="0" xfId="0" applyFont="1"/>
    <xf numFmtId="0" fontId="2" fillId="2" borderId="0" xfId="0" applyFont="1" applyFill="1" applyAlignment="1">
      <alignment wrapText="1"/>
    </xf>
    <xf numFmtId="0" fontId="7" fillId="2" borderId="0" xfId="0" applyFont="1" applyFill="1" applyAlignment="1">
      <alignment horizontal="center" vertical="center" wrapText="1"/>
    </xf>
    <xf numFmtId="2" fontId="8" fillId="0" borderId="0" xfId="0" applyNumberFormat="1" applyFont="1"/>
    <xf numFmtId="4" fontId="1" fillId="0" borderId="0" xfId="0" applyNumberFormat="1" applyFont="1" applyAlignment="1">
      <alignment wrapText="1"/>
    </xf>
    <xf numFmtId="0" fontId="1" fillId="0" borderId="1" xfId="0" applyFont="1" applyBorder="1" applyAlignment="1">
      <alignment horizontal="right" wrapText="1"/>
    </xf>
    <xf numFmtId="4" fontId="2" fillId="0" borderId="0" xfId="0" applyNumberFormat="1" applyFont="1" applyAlignment="1">
      <alignment horizontal="right" wrapText="1"/>
    </xf>
    <xf numFmtId="0" fontId="10" fillId="0" borderId="0" xfId="0" applyFont="1" applyAlignment="1">
      <alignment horizontal="right" wrapText="1"/>
    </xf>
    <xf numFmtId="0" fontId="9" fillId="0" borderId="0" xfId="0" applyFont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EAC0E1"/>
      <color rgb="FFBE96CA"/>
      <color rgb="FF6620A0"/>
      <color rgb="FFE3C7DD"/>
      <color rgb="FFB63898"/>
      <color rgb="FF5B1D8F"/>
      <color rgb="FF9D669E"/>
      <color rgb="FF8F4F81"/>
      <color rgb="FFA301A3"/>
      <color rgb="FF8D04A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8D4AEE-EE29-40AB-8D87-06ED6D1FE2AE}">
  <sheetPr codeName="Sheet3"/>
  <dimension ref="A1:Z25"/>
  <sheetViews>
    <sheetView tabSelected="1" workbookViewId="0">
      <selection activeCell="B9" sqref="B9"/>
    </sheetView>
  </sheetViews>
  <sheetFormatPr defaultRowHeight="14.5" x14ac:dyDescent="0.35"/>
  <cols>
    <col min="1" max="1" width="29.6328125" customWidth="1"/>
    <col min="2" max="2" width="25.90625" customWidth="1"/>
    <col min="3" max="3" width="19.26953125" customWidth="1"/>
    <col min="5" max="5" width="20.36328125" customWidth="1"/>
    <col min="6" max="6" width="19.453125" customWidth="1"/>
    <col min="7" max="7" width="16.26953125" customWidth="1"/>
  </cols>
  <sheetData>
    <row r="1" spans="1:26" ht="12" customHeight="1" x14ac:dyDescent="0.35">
      <c r="A1" s="16" t="s">
        <v>7</v>
      </c>
      <c r="B1" s="11" t="s">
        <v>47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2" customHeight="1" x14ac:dyDescent="0.35">
      <c r="A2" s="16" t="s">
        <v>29</v>
      </c>
      <c r="B2" s="20" t="s">
        <v>82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2" customHeight="1" x14ac:dyDescent="0.35">
      <c r="A3" s="16" t="s">
        <v>30</v>
      </c>
      <c r="B3" s="4" t="s">
        <v>81</v>
      </c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2" customHeight="1" x14ac:dyDescent="0.35">
      <c r="A4" s="16" t="s">
        <v>38</v>
      </c>
      <c r="B4" s="4" t="s">
        <v>48</v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2" customHeight="1" x14ac:dyDescent="0.35">
      <c r="A5" s="16" t="s">
        <v>5</v>
      </c>
      <c r="B5" s="12">
        <v>45741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2" customHeight="1" x14ac:dyDescent="0.35">
      <c r="A6" s="16" t="s">
        <v>6</v>
      </c>
      <c r="B6" s="12">
        <v>46836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2" customHeight="1" x14ac:dyDescent="0.35">
      <c r="A7" s="16" t="s">
        <v>4</v>
      </c>
      <c r="B7" s="12">
        <v>46023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2" customHeight="1" x14ac:dyDescent="0.35">
      <c r="A8" s="16" t="s">
        <v>31</v>
      </c>
      <c r="B8" s="12">
        <v>46106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2" customHeight="1" x14ac:dyDescent="0.35">
      <c r="A9" s="16" t="s">
        <v>32</v>
      </c>
      <c r="B9" s="3">
        <v>36</v>
      </c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2" customHeight="1" x14ac:dyDescent="0.35">
      <c r="A10" s="16" t="s">
        <v>33</v>
      </c>
      <c r="B10" s="3">
        <v>24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2" customHeight="1" x14ac:dyDescent="0.35">
      <c r="A11" s="16" t="s">
        <v>34</v>
      </c>
      <c r="B11" s="2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12" customHeight="1" x14ac:dyDescent="0.35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2" customHeight="1" x14ac:dyDescent="0.35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12" customHeight="1" x14ac:dyDescent="0.35">
      <c r="A14" s="16" t="s">
        <v>3</v>
      </c>
      <c r="B14" s="16" t="s">
        <v>5</v>
      </c>
      <c r="C14" s="16" t="s">
        <v>6</v>
      </c>
      <c r="D14" s="1"/>
      <c r="E14" s="10"/>
      <c r="F14" s="10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2" customHeight="1" x14ac:dyDescent="0.35">
      <c r="A15" s="1" t="s">
        <v>81</v>
      </c>
      <c r="B15" s="13">
        <f>B5</f>
        <v>45741</v>
      </c>
      <c r="C15" s="13">
        <f>B6</f>
        <v>46836</v>
      </c>
      <c r="D15" s="1"/>
      <c r="E15" s="10"/>
      <c r="F15" s="10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12" customHeight="1" x14ac:dyDescent="0.35">
      <c r="A16" s="1"/>
      <c r="B16" s="1"/>
      <c r="C16" s="1"/>
      <c r="D16" s="1"/>
      <c r="E16" s="1"/>
      <c r="F16" s="2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2" customHeight="1" x14ac:dyDescent="0.35">
      <c r="A17" s="16" t="s">
        <v>8</v>
      </c>
      <c r="B17" s="16"/>
      <c r="C17" s="16"/>
      <c r="D17" s="10"/>
      <c r="E17" s="10"/>
      <c r="F17" s="2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12" customHeight="1" x14ac:dyDescent="0.35">
      <c r="A18" s="16" t="s">
        <v>35</v>
      </c>
      <c r="B18" s="16" t="s">
        <v>36</v>
      </c>
      <c r="C18" s="16" t="s">
        <v>14</v>
      </c>
      <c r="D18" s="10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2" customHeight="1" x14ac:dyDescent="0.35">
      <c r="A19" s="1" t="s">
        <v>20</v>
      </c>
      <c r="B19" s="14"/>
      <c r="C19" s="2"/>
      <c r="D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12" customHeight="1" x14ac:dyDescent="0.35">
      <c r="A20" s="6" t="s">
        <v>42</v>
      </c>
      <c r="B20" s="14"/>
      <c r="C20" s="19"/>
      <c r="D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x14ac:dyDescent="0.35">
      <c r="A21" t="s">
        <v>49</v>
      </c>
      <c r="B21" s="14"/>
      <c r="C21" s="19"/>
    </row>
    <row r="22" spans="1:26" ht="12" customHeight="1" x14ac:dyDescent="0.35">
      <c r="A22" s="1" t="s">
        <v>56</v>
      </c>
      <c r="B22" s="14"/>
      <c r="C22" s="19"/>
      <c r="D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2" customHeight="1" x14ac:dyDescent="0.35">
      <c r="A23" s="1"/>
      <c r="B23" s="1"/>
      <c r="C23" s="1"/>
      <c r="D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2" customHeight="1" x14ac:dyDescent="0.35"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21" x14ac:dyDescent="0.5">
      <c r="A25" s="15" t="s">
        <v>39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44DF24-B602-4DC5-876C-D1716B2F6767}">
  <sheetPr codeName="Sheet4"/>
  <dimension ref="A1:V24"/>
  <sheetViews>
    <sheetView workbookViewId="0">
      <selection activeCell="B5" sqref="B5"/>
    </sheetView>
  </sheetViews>
  <sheetFormatPr defaultRowHeight="14.5" x14ac:dyDescent="0.35"/>
  <cols>
    <col min="1" max="1" width="20.6328125" customWidth="1"/>
    <col min="2" max="2" width="14.54296875" customWidth="1"/>
    <col min="3" max="3" width="18.36328125" customWidth="1"/>
    <col min="4" max="4" width="5.26953125" bestFit="1" customWidth="1"/>
    <col min="5" max="5" width="14.08984375" customWidth="1"/>
    <col min="6" max="6" width="12.26953125" customWidth="1"/>
    <col min="7" max="7" width="13.1796875" customWidth="1"/>
    <col min="8" max="8" width="11.36328125" customWidth="1"/>
    <col min="9" max="9" width="13.6328125" customWidth="1"/>
    <col min="10" max="10" width="14.36328125" customWidth="1"/>
    <col min="11" max="11" width="14" customWidth="1"/>
    <col min="12" max="12" width="17.453125" customWidth="1"/>
    <col min="13" max="13" width="16.36328125" customWidth="1"/>
    <col min="14" max="14" width="12.54296875" customWidth="1"/>
    <col min="15" max="15" width="10.81640625" customWidth="1"/>
    <col min="16" max="16" width="8.26953125" customWidth="1"/>
    <col min="17" max="17" width="10.7265625" customWidth="1"/>
    <col min="18" max="18" width="12.81640625" customWidth="1"/>
    <col min="19" max="19" width="14.81640625" customWidth="1"/>
    <col min="20" max="20" width="16.36328125" customWidth="1"/>
    <col min="21" max="21" width="9.81640625" customWidth="1"/>
    <col min="22" max="22" width="9.54296875" customWidth="1"/>
  </cols>
  <sheetData>
    <row r="1" spans="1:22" s="23" customFormat="1" ht="44" customHeight="1" x14ac:dyDescent="0.35">
      <c r="A1" s="17" t="s">
        <v>9</v>
      </c>
      <c r="B1" s="17" t="s">
        <v>37</v>
      </c>
      <c r="C1" s="17" t="s">
        <v>0</v>
      </c>
      <c r="D1" s="17" t="s">
        <v>10</v>
      </c>
      <c r="E1" s="17" t="s">
        <v>11</v>
      </c>
      <c r="F1" s="17" t="s">
        <v>12</v>
      </c>
      <c r="G1" s="17" t="s">
        <v>13</v>
      </c>
      <c r="H1" s="17" t="s">
        <v>14</v>
      </c>
      <c r="I1" s="17" t="s">
        <v>15</v>
      </c>
      <c r="J1" s="17" t="s">
        <v>16</v>
      </c>
      <c r="K1" s="17" t="s">
        <v>45</v>
      </c>
      <c r="L1" s="17" t="s">
        <v>86</v>
      </c>
      <c r="M1" s="17" t="s">
        <v>83</v>
      </c>
      <c r="N1" s="17" t="s">
        <v>84</v>
      </c>
      <c r="O1" s="17" t="s">
        <v>17</v>
      </c>
      <c r="P1" s="17" t="s">
        <v>1</v>
      </c>
      <c r="Q1" s="17" t="s">
        <v>46</v>
      </c>
      <c r="R1" s="17" t="s">
        <v>85</v>
      </c>
      <c r="S1" s="17" t="s">
        <v>18</v>
      </c>
      <c r="T1" s="17" t="s">
        <v>2</v>
      </c>
      <c r="U1" s="17" t="s">
        <v>87</v>
      </c>
      <c r="V1" s="17" t="s">
        <v>19</v>
      </c>
    </row>
    <row r="2" spans="1:22" s="6" customFormat="1" ht="15" customHeight="1" x14ac:dyDescent="0.35">
      <c r="A2" s="5" t="s">
        <v>20</v>
      </c>
      <c r="B2" s="6" t="s">
        <v>21</v>
      </c>
      <c r="C2" s="6" t="s">
        <v>22</v>
      </c>
      <c r="D2" s="3">
        <f>F2-E2</f>
        <v>0</v>
      </c>
      <c r="E2" s="6">
        <v>100</v>
      </c>
      <c r="F2" s="6">
        <v>100</v>
      </c>
      <c r="H2" s="3"/>
      <c r="I2" s="7">
        <f t="shared" ref="I2:I7" si="0">O2*E2*T2</f>
        <v>72000</v>
      </c>
      <c r="J2" s="7">
        <f t="shared" ref="J2:J7" si="1">F2*O2*T2</f>
        <v>72000</v>
      </c>
      <c r="K2" s="7">
        <f t="shared" ref="K2:K7" si="2">IF(D2&gt;0, 0, (-1)*D2*O2*T2)</f>
        <v>0</v>
      </c>
      <c r="L2" s="7">
        <f t="shared" ref="L2:L7" si="3">IF(U2="FIXED", 0, IF(D2&lt;0, 0, D2*O2*T2))</f>
        <v>0</v>
      </c>
      <c r="M2" s="3">
        <f>IF(U2 = "YES", IF(D2&gt;=0, 0, ((-1)*D2)), 0)</f>
        <v>0</v>
      </c>
      <c r="N2" s="3">
        <f>IF(U2 = "YES", IF(D2&lt;0, 0, D2), 0)</f>
        <v>0</v>
      </c>
      <c r="O2" s="8">
        <f>Q2-(Q2*(P2/100))</f>
        <v>30</v>
      </c>
      <c r="P2" s="3">
        <v>60</v>
      </c>
      <c r="Q2" s="18">
        <v>75</v>
      </c>
      <c r="R2" s="9" t="str">
        <f t="shared" ref="R2:R7" si="4">IF(E2&gt;F2, "YES", "NO")</f>
        <v>NO</v>
      </c>
      <c r="S2" s="6">
        <f>Summary!$B$9</f>
        <v>36</v>
      </c>
      <c r="T2" s="6">
        <f>Summary!$B$10</f>
        <v>24</v>
      </c>
      <c r="U2" s="6" t="s">
        <v>88</v>
      </c>
      <c r="V2" s="6" t="s">
        <v>23</v>
      </c>
    </row>
    <row r="3" spans="1:22" s="6" customFormat="1" ht="15" customHeight="1" x14ac:dyDescent="0.35">
      <c r="A3" s="5" t="s">
        <v>20</v>
      </c>
      <c r="B3" s="6" t="s">
        <v>40</v>
      </c>
      <c r="C3" s="6" t="s">
        <v>41</v>
      </c>
      <c r="D3" s="3">
        <f>F3-E3</f>
        <v>-1</v>
      </c>
      <c r="E3" s="6">
        <v>10</v>
      </c>
      <c r="F3" s="6">
        <v>9</v>
      </c>
      <c r="H3" s="3"/>
      <c r="I3" s="7">
        <f>O3*E3*T3</f>
        <v>68352</v>
      </c>
      <c r="J3" s="7">
        <f>F3*O3*T3</f>
        <v>61516.800000000003</v>
      </c>
      <c r="K3" s="7">
        <f>IF(D3&gt;0, 0, (-1)*D3*O3*T3)</f>
        <v>6835.2000000000007</v>
      </c>
      <c r="L3" s="7">
        <f>IF(U3="FIXED", 0, IF(D3&lt;0, 0, D3*O3*T3))</f>
        <v>0</v>
      </c>
      <c r="M3" s="3">
        <f t="shared" ref="M3:M24" si="5">IF(U3 = "YES", IF(D3&gt;=0, 0, ((-1)*D3)), 0)</f>
        <v>1</v>
      </c>
      <c r="N3" s="3">
        <f t="shared" ref="N3:N24" si="6">IF(U3 = "YES", IF(D3&lt;0, 0, D3), 0)</f>
        <v>0</v>
      </c>
      <c r="O3" s="8">
        <f>Q3-(Q3*(P3/100))</f>
        <v>284.8</v>
      </c>
      <c r="P3" s="3">
        <v>60</v>
      </c>
      <c r="Q3" s="18">
        <v>712</v>
      </c>
      <c r="R3" s="9" t="str">
        <f>IF(E3&gt;F3, "YES", "NO")</f>
        <v>YES</v>
      </c>
      <c r="S3" s="6">
        <f>Summary!$B$9</f>
        <v>36</v>
      </c>
      <c r="T3" s="6">
        <f>Summary!$B$10</f>
        <v>24</v>
      </c>
      <c r="U3" s="6" t="s">
        <v>88</v>
      </c>
      <c r="V3" s="9" t="s">
        <v>23</v>
      </c>
    </row>
    <row r="4" spans="1:22" s="6" customFormat="1" ht="15" customHeight="1" x14ac:dyDescent="0.35">
      <c r="A4" s="5" t="s">
        <v>20</v>
      </c>
      <c r="B4" s="6" t="s">
        <v>24</v>
      </c>
      <c r="C4" s="6" t="s">
        <v>25</v>
      </c>
      <c r="D4" s="3">
        <f>F4-E4</f>
        <v>200</v>
      </c>
      <c r="E4" s="3">
        <v>0</v>
      </c>
      <c r="F4" s="3">
        <v>200</v>
      </c>
      <c r="G4" s="9"/>
      <c r="H4" s="3"/>
      <c r="I4" s="7">
        <f>O4*E4*T4</f>
        <v>0</v>
      </c>
      <c r="J4" s="7">
        <f>F4*O4*T4</f>
        <v>122880</v>
      </c>
      <c r="K4" s="7">
        <f>IF(D4&gt;0, 0, (-1)*D4*O4*T4)</f>
        <v>0</v>
      </c>
      <c r="L4" s="7">
        <f>IF(U4="FIXED", 0, IF(D4&lt;0, 0, D4*O4*T4))</f>
        <v>122880</v>
      </c>
      <c r="M4" s="3">
        <f t="shared" si="5"/>
        <v>0</v>
      </c>
      <c r="N4" s="3">
        <f t="shared" si="6"/>
        <v>200</v>
      </c>
      <c r="O4" s="8">
        <f>Q4-(Q4*(P4/100))</f>
        <v>25.6</v>
      </c>
      <c r="P4" s="3">
        <v>60</v>
      </c>
      <c r="Q4" s="18">
        <v>64</v>
      </c>
      <c r="R4" s="9" t="str">
        <f>IF(E4&gt;F4, "YES", "NO")</f>
        <v>NO</v>
      </c>
      <c r="S4" s="6">
        <f>Summary!$B$9</f>
        <v>36</v>
      </c>
      <c r="T4" s="6">
        <f>Summary!$B$10</f>
        <v>24</v>
      </c>
      <c r="U4" s="6" t="s">
        <v>88</v>
      </c>
      <c r="V4" s="9" t="s">
        <v>23</v>
      </c>
    </row>
    <row r="5" spans="1:22" s="6" customFormat="1" ht="15" customHeight="1" x14ac:dyDescent="0.35">
      <c r="A5" s="5" t="s">
        <v>20</v>
      </c>
      <c r="B5" s="6" t="s">
        <v>65</v>
      </c>
      <c r="C5" s="6" t="s">
        <v>66</v>
      </c>
      <c r="D5" s="22">
        <f t="shared" ref="D5" si="7">F5-E5</f>
        <v>-15</v>
      </c>
      <c r="E5" s="3">
        <v>15</v>
      </c>
      <c r="F5" s="3">
        <v>0</v>
      </c>
      <c r="G5" s="9"/>
      <c r="H5" s="7"/>
      <c r="I5" s="7">
        <f t="shared" ref="I5" si="8">O5*E5*T5</f>
        <v>135360</v>
      </c>
      <c r="J5" s="7">
        <f t="shared" ref="J5" si="9">F5*O5*T5</f>
        <v>0</v>
      </c>
      <c r="K5" s="7">
        <f t="shared" ref="K5" si="10">IF(D5&gt;0, 0, (-1)*D5*O5*T5)</f>
        <v>135360</v>
      </c>
      <c r="L5" s="7">
        <f t="shared" ref="L5" si="11">IF(U5="FIXED", 0, IF(D5&lt;0, 0, D5*O5*T5))</f>
        <v>0</v>
      </c>
      <c r="M5" s="3">
        <f t="shared" si="5"/>
        <v>15</v>
      </c>
      <c r="N5" s="3">
        <f t="shared" si="6"/>
        <v>0</v>
      </c>
      <c r="O5" s="8">
        <f t="shared" ref="O5" si="12">Q5-(Q5*(P5/100))</f>
        <v>376</v>
      </c>
      <c r="P5" s="3">
        <v>60</v>
      </c>
      <c r="Q5" s="18">
        <v>940</v>
      </c>
      <c r="R5" s="9" t="str">
        <f t="shared" ref="R5" si="13">IF(E5&gt;F5, "YES", "NO")</f>
        <v>YES</v>
      </c>
      <c r="S5" s="6">
        <f>Summary!$B$9</f>
        <v>36</v>
      </c>
      <c r="T5" s="6">
        <f>Summary!$B$10</f>
        <v>24</v>
      </c>
      <c r="U5" s="6" t="s">
        <v>88</v>
      </c>
      <c r="V5" s="9" t="s">
        <v>23</v>
      </c>
    </row>
    <row r="6" spans="1:22" s="6" customFormat="1" ht="15" customHeight="1" x14ac:dyDescent="0.35">
      <c r="A6" s="5" t="s">
        <v>20</v>
      </c>
      <c r="B6" s="6" t="s">
        <v>27</v>
      </c>
      <c r="C6" s="6" t="s">
        <v>28</v>
      </c>
      <c r="D6" s="3">
        <f t="shared" ref="D6" si="14">F6-E6</f>
        <v>0</v>
      </c>
      <c r="E6" s="3">
        <v>5</v>
      </c>
      <c r="F6" s="3">
        <v>5</v>
      </c>
      <c r="G6" s="9"/>
      <c r="H6" s="3"/>
      <c r="I6" s="7">
        <f t="shared" si="0"/>
        <v>14208</v>
      </c>
      <c r="J6" s="7">
        <f t="shared" si="1"/>
        <v>14208</v>
      </c>
      <c r="K6" s="7">
        <f t="shared" si="2"/>
        <v>0</v>
      </c>
      <c r="L6" s="7">
        <f t="shared" si="3"/>
        <v>0</v>
      </c>
      <c r="M6" s="3">
        <f t="shared" si="5"/>
        <v>0</v>
      </c>
      <c r="N6" s="3">
        <f t="shared" si="6"/>
        <v>0</v>
      </c>
      <c r="O6" s="8">
        <f t="shared" ref="O6" si="15">Q6-(Q6*(P6/100))</f>
        <v>118.4</v>
      </c>
      <c r="P6" s="3">
        <v>60</v>
      </c>
      <c r="Q6" s="18">
        <v>296</v>
      </c>
      <c r="R6" s="9" t="str">
        <f t="shared" si="4"/>
        <v>NO</v>
      </c>
      <c r="S6" s="6">
        <f>Summary!$B$9</f>
        <v>36</v>
      </c>
      <c r="T6" s="6">
        <f>Summary!$B$10</f>
        <v>24</v>
      </c>
      <c r="U6" s="6" t="s">
        <v>89</v>
      </c>
      <c r="V6" s="9" t="s">
        <v>26</v>
      </c>
    </row>
    <row r="7" spans="1:22" s="6" customFormat="1" ht="15" customHeight="1" x14ac:dyDescent="0.35">
      <c r="A7" s="5" t="s">
        <v>20</v>
      </c>
      <c r="B7" s="6" t="s">
        <v>63</v>
      </c>
      <c r="C7" s="6" t="s">
        <v>64</v>
      </c>
      <c r="D7" s="3">
        <f>F7-E7</f>
        <v>-1</v>
      </c>
      <c r="E7" s="3">
        <v>5</v>
      </c>
      <c r="F7" s="3">
        <v>4</v>
      </c>
      <c r="G7" s="9"/>
      <c r="H7" s="3"/>
      <c r="I7" s="7">
        <f t="shared" si="0"/>
        <v>8640</v>
      </c>
      <c r="J7" s="7">
        <f t="shared" si="1"/>
        <v>6912</v>
      </c>
      <c r="K7" s="7">
        <f t="shared" si="2"/>
        <v>1728</v>
      </c>
      <c r="L7" s="7">
        <f t="shared" si="3"/>
        <v>0</v>
      </c>
      <c r="M7" s="3">
        <f t="shared" si="5"/>
        <v>0</v>
      </c>
      <c r="N7" s="3">
        <f t="shared" si="6"/>
        <v>0</v>
      </c>
      <c r="O7" s="8">
        <f>Q7-(Q7*(P7/100))</f>
        <v>72</v>
      </c>
      <c r="P7" s="3">
        <v>60</v>
      </c>
      <c r="Q7" s="18">
        <v>180</v>
      </c>
      <c r="R7" s="9" t="str">
        <f t="shared" si="4"/>
        <v>YES</v>
      </c>
      <c r="S7" s="6">
        <f>Summary!$B$9</f>
        <v>36</v>
      </c>
      <c r="T7" s="6">
        <f>Summary!$B$10</f>
        <v>24</v>
      </c>
      <c r="U7" s="6" t="s">
        <v>89</v>
      </c>
      <c r="V7" s="9" t="s">
        <v>26</v>
      </c>
    </row>
    <row r="8" spans="1:22" s="6" customFormat="1" ht="15" customHeight="1" x14ac:dyDescent="0.35">
      <c r="A8" s="5"/>
      <c r="D8" s="3"/>
      <c r="E8" s="3"/>
      <c r="F8" s="3"/>
      <c r="G8" s="9"/>
      <c r="H8" s="3"/>
      <c r="I8" s="7"/>
      <c r="J8" s="7"/>
      <c r="K8" s="7"/>
      <c r="L8" s="7"/>
      <c r="M8" s="3"/>
      <c r="N8" s="3"/>
      <c r="O8" s="8"/>
      <c r="P8" s="3"/>
      <c r="Q8" s="18"/>
      <c r="R8" s="9"/>
      <c r="V8" s="9"/>
    </row>
    <row r="9" spans="1:22" s="6" customFormat="1" ht="15" customHeight="1" x14ac:dyDescent="0.35">
      <c r="A9" s="6" t="s">
        <v>42</v>
      </c>
      <c r="B9" s="9" t="s">
        <v>67</v>
      </c>
      <c r="C9" s="6" t="s">
        <v>68</v>
      </c>
      <c r="D9" s="3">
        <f t="shared" ref="D9" si="16">F9-E9</f>
        <v>0</v>
      </c>
      <c r="E9" s="3">
        <v>100</v>
      </c>
      <c r="F9" s="3">
        <v>100</v>
      </c>
      <c r="G9" s="9"/>
      <c r="H9" s="3"/>
      <c r="I9" s="7">
        <f t="shared" ref="I9" si="17">O9*E9*T9</f>
        <v>53999.999999999985</v>
      </c>
      <c r="J9" s="7">
        <f t="shared" ref="J9" si="18">F9*O9*T9</f>
        <v>53999.999999999985</v>
      </c>
      <c r="K9" s="7">
        <f t="shared" ref="K9" si="19">IF(D9&gt;0, 0, (-1)*D9*O9*T9)</f>
        <v>0</v>
      </c>
      <c r="L9" s="7">
        <f t="shared" ref="L9" si="20">IF(U9="FIXED", 0, IF(D9&lt;0, 0, D9*O9*T9))</f>
        <v>0</v>
      </c>
      <c r="M9" s="3">
        <f t="shared" si="5"/>
        <v>0</v>
      </c>
      <c r="N9" s="3">
        <f t="shared" si="6"/>
        <v>0</v>
      </c>
      <c r="O9" s="8">
        <f t="shared" ref="O9" si="21">Q9-(Q9*(P9/100))</f>
        <v>22.499999999999996</v>
      </c>
      <c r="P9" s="6">
        <v>55</v>
      </c>
      <c r="Q9" s="18">
        <v>50</v>
      </c>
      <c r="R9" s="9" t="str">
        <f t="shared" ref="R9" si="22">IF(E9&gt;F9, "YES", "NO")</f>
        <v>NO</v>
      </c>
      <c r="S9" s="6">
        <f>Summary!$B$9</f>
        <v>36</v>
      </c>
      <c r="T9" s="6">
        <f>Summary!$B$10</f>
        <v>24</v>
      </c>
      <c r="U9" s="6" t="s">
        <v>88</v>
      </c>
      <c r="V9" s="6" t="s">
        <v>23</v>
      </c>
    </row>
    <row r="10" spans="1:22" s="6" customFormat="1" ht="15" customHeight="1" x14ac:dyDescent="0.35">
      <c r="A10" s="6" t="s">
        <v>42</v>
      </c>
      <c r="B10" s="6" t="s">
        <v>43</v>
      </c>
      <c r="C10" s="6" t="s">
        <v>44</v>
      </c>
      <c r="D10" s="3">
        <f>F10-E10</f>
        <v>-50</v>
      </c>
      <c r="E10" s="3">
        <v>150</v>
      </c>
      <c r="F10" s="3">
        <v>100</v>
      </c>
      <c r="G10" s="9"/>
      <c r="H10" s="3"/>
      <c r="I10" s="7">
        <f t="shared" ref="I10:I11" si="23">O10*E10*T10</f>
        <v>100440</v>
      </c>
      <c r="J10" s="7">
        <f t="shared" ref="J10:J11" si="24">F10*O10*T10</f>
        <v>66960</v>
      </c>
      <c r="K10" s="7">
        <f t="shared" ref="K10:K11" si="25">IF(D10&gt;0, 0, (-1)*D10*O10*T10)</f>
        <v>33480</v>
      </c>
      <c r="L10" s="7">
        <f t="shared" ref="L10:L11" si="26">IF(U10="FIXED", 0, IF(D10&lt;0, 0, D10*O10*T10))</f>
        <v>0</v>
      </c>
      <c r="M10" s="3">
        <f t="shared" si="5"/>
        <v>50</v>
      </c>
      <c r="N10" s="3">
        <f t="shared" si="6"/>
        <v>0</v>
      </c>
      <c r="O10" s="8">
        <f>Q10-(Q10*(P10/100))</f>
        <v>27.9</v>
      </c>
      <c r="P10" s="6">
        <v>55</v>
      </c>
      <c r="Q10" s="18">
        <v>62</v>
      </c>
      <c r="R10" s="9" t="str">
        <f t="shared" ref="R10:R11" si="27">IF(E10&gt;F10, "YES", "NO")</f>
        <v>YES</v>
      </c>
      <c r="S10" s="6">
        <f>Summary!$B$9</f>
        <v>36</v>
      </c>
      <c r="T10" s="6">
        <f>Summary!$B$10</f>
        <v>24</v>
      </c>
      <c r="U10" s="6" t="s">
        <v>88</v>
      </c>
      <c r="V10" s="6" t="s">
        <v>23</v>
      </c>
    </row>
    <row r="11" spans="1:22" s="6" customFormat="1" ht="15" customHeight="1" x14ac:dyDescent="0.35">
      <c r="A11" s="6" t="s">
        <v>42</v>
      </c>
      <c r="B11" s="6" t="s">
        <v>71</v>
      </c>
      <c r="C11" s="6" t="s">
        <v>72</v>
      </c>
      <c r="D11" s="3">
        <f t="shared" ref="D11" si="28">F11-E11</f>
        <v>15</v>
      </c>
      <c r="E11" s="6">
        <v>50</v>
      </c>
      <c r="F11" s="6">
        <v>65</v>
      </c>
      <c r="G11" s="9"/>
      <c r="H11" s="3"/>
      <c r="I11" s="7">
        <f t="shared" si="23"/>
        <v>8639.9999999999982</v>
      </c>
      <c r="J11" s="7">
        <f t="shared" si="24"/>
        <v>11231.999999999998</v>
      </c>
      <c r="K11" s="7">
        <f t="shared" si="25"/>
        <v>0</v>
      </c>
      <c r="L11" s="7">
        <f t="shared" si="26"/>
        <v>2591.9999999999995</v>
      </c>
      <c r="M11" s="3">
        <f t="shared" si="5"/>
        <v>0</v>
      </c>
      <c r="N11" s="3">
        <f t="shared" si="6"/>
        <v>0</v>
      </c>
      <c r="O11" s="8">
        <f t="shared" ref="O11" si="29">Q11-(Q11*(P11/100))</f>
        <v>7.1999999999999993</v>
      </c>
      <c r="P11" s="6">
        <v>55</v>
      </c>
      <c r="Q11" s="18">
        <v>16</v>
      </c>
      <c r="R11" s="9" t="str">
        <f t="shared" si="27"/>
        <v>NO</v>
      </c>
      <c r="S11" s="6">
        <f>Summary!$B$9</f>
        <v>36</v>
      </c>
      <c r="T11" s="6">
        <f>Summary!$B$10</f>
        <v>24</v>
      </c>
      <c r="U11" s="6" t="s">
        <v>89</v>
      </c>
      <c r="V11" s="6" t="s">
        <v>26</v>
      </c>
    </row>
    <row r="12" spans="1:22" s="6" customFormat="1" ht="15" customHeight="1" x14ac:dyDescent="0.35">
      <c r="A12" s="6" t="s">
        <v>42</v>
      </c>
      <c r="B12" s="9" t="s">
        <v>69</v>
      </c>
      <c r="C12" s="6" t="s">
        <v>70</v>
      </c>
      <c r="D12" s="3">
        <f t="shared" ref="D12" si="30">F12-E12</f>
        <v>10</v>
      </c>
      <c r="E12" s="6">
        <v>0</v>
      </c>
      <c r="F12" s="6">
        <v>10</v>
      </c>
      <c r="G12" s="9"/>
      <c r="H12" s="3"/>
      <c r="I12" s="7">
        <f t="shared" ref="I12" si="31">O12*E12*T12</f>
        <v>0</v>
      </c>
      <c r="J12" s="7">
        <f t="shared" ref="J12" si="32">F12*O12*T12</f>
        <v>17520</v>
      </c>
      <c r="K12" s="7">
        <f t="shared" ref="K12" si="33">IF(D12&gt;0, 0, (-1)*D12*O12*T12)</f>
        <v>0</v>
      </c>
      <c r="L12" s="7">
        <f t="shared" ref="L12" si="34">IF(U12="FIXED", 0, IF(D12&lt;0, 0, D12*O12*T12))</f>
        <v>17520</v>
      </c>
      <c r="M12" s="3">
        <f t="shared" si="5"/>
        <v>0</v>
      </c>
      <c r="N12" s="3">
        <f t="shared" si="6"/>
        <v>0</v>
      </c>
      <c r="O12" s="8">
        <v>73</v>
      </c>
      <c r="P12" s="6">
        <v>55</v>
      </c>
      <c r="Q12" s="18">
        <v>618</v>
      </c>
      <c r="R12" s="9" t="str">
        <f t="shared" ref="R12" si="35">IF(E12&gt;F12, "YES", "NO")</f>
        <v>NO</v>
      </c>
      <c r="S12" s="6">
        <f>Summary!$B$9</f>
        <v>36</v>
      </c>
      <c r="T12" s="6">
        <f>Summary!$B$10</f>
        <v>24</v>
      </c>
      <c r="U12" s="6" t="s">
        <v>89</v>
      </c>
      <c r="V12" s="6" t="s">
        <v>26</v>
      </c>
    </row>
    <row r="13" spans="1:22" s="6" customFormat="1" ht="15" customHeight="1" x14ac:dyDescent="0.35">
      <c r="B13" s="9"/>
      <c r="D13" s="3"/>
      <c r="G13" s="9"/>
      <c r="H13" s="3"/>
      <c r="I13" s="7"/>
      <c r="J13" s="7"/>
      <c r="K13" s="7"/>
      <c r="L13" s="7"/>
      <c r="M13" s="3"/>
      <c r="N13" s="3"/>
      <c r="O13" s="8"/>
      <c r="Q13" s="18"/>
      <c r="R13" s="9"/>
    </row>
    <row r="14" spans="1:22" s="6" customFormat="1" ht="15" customHeight="1" x14ac:dyDescent="0.35">
      <c r="A14" s="6" t="s">
        <v>49</v>
      </c>
      <c r="B14" s="9" t="s">
        <v>50</v>
      </c>
      <c r="C14" s="6" t="s">
        <v>51</v>
      </c>
      <c r="D14" s="3">
        <f t="shared" ref="D14:D24" si="36">F14-E14</f>
        <v>0</v>
      </c>
      <c r="E14" s="3">
        <v>150</v>
      </c>
      <c r="F14" s="3">
        <v>150</v>
      </c>
      <c r="G14" s="9"/>
      <c r="H14" s="3"/>
      <c r="I14" s="7">
        <f t="shared" ref="I14:I17" si="37">O14*E14*T14</f>
        <v>108000</v>
      </c>
      <c r="J14" s="7">
        <f t="shared" ref="J14:J17" si="38">F14*O14*T14</f>
        <v>108000</v>
      </c>
      <c r="K14" s="7">
        <f t="shared" ref="K14:K17" si="39">IF(D14&gt;0, 0, (-1)*D14*O14*T14)</f>
        <v>0</v>
      </c>
      <c r="L14" s="7">
        <f t="shared" ref="L14:L17" si="40">IF(U14="FIXED", 0, IF(D14&lt;0, 0, D14*O14*T14))</f>
        <v>0</v>
      </c>
      <c r="M14" s="3">
        <f t="shared" si="5"/>
        <v>0</v>
      </c>
      <c r="N14" s="3">
        <f t="shared" si="6"/>
        <v>0</v>
      </c>
      <c r="O14" s="8">
        <f t="shared" ref="O14:O24" si="41">Q14-(Q14*(P14/100))</f>
        <v>30</v>
      </c>
      <c r="P14" s="6">
        <v>70</v>
      </c>
      <c r="Q14" s="18">
        <v>100</v>
      </c>
      <c r="R14" s="9" t="str">
        <f t="shared" ref="R14:R17" si="42">IF(E14&gt;F14, "YES", "NO")</f>
        <v>NO</v>
      </c>
      <c r="S14" s="6">
        <f>Summary!$B$9</f>
        <v>36</v>
      </c>
      <c r="T14" s="6">
        <f>Summary!$B$10</f>
        <v>24</v>
      </c>
      <c r="U14" s="6" t="s">
        <v>89</v>
      </c>
      <c r="V14" s="6" t="s">
        <v>23</v>
      </c>
    </row>
    <row r="15" spans="1:22" s="6" customFormat="1" ht="15" customHeight="1" x14ac:dyDescent="0.35">
      <c r="A15" s="6" t="s">
        <v>49</v>
      </c>
      <c r="B15" s="6" t="s">
        <v>52</v>
      </c>
      <c r="C15" s="6" t="s">
        <v>53</v>
      </c>
      <c r="D15" s="3">
        <f t="shared" si="36"/>
        <v>-5</v>
      </c>
      <c r="E15" s="3">
        <v>15</v>
      </c>
      <c r="F15" s="3">
        <v>10</v>
      </c>
      <c r="G15" s="9"/>
      <c r="H15" s="3"/>
      <c r="I15" s="7">
        <f>O15*E15*T15</f>
        <v>88884.000000000029</v>
      </c>
      <c r="J15" s="7">
        <f t="shared" si="38"/>
        <v>59256.000000000022</v>
      </c>
      <c r="K15" s="7">
        <f t="shared" si="39"/>
        <v>29628.000000000011</v>
      </c>
      <c r="L15" s="7">
        <f t="shared" si="40"/>
        <v>0</v>
      </c>
      <c r="M15" s="3">
        <f t="shared" si="5"/>
        <v>0</v>
      </c>
      <c r="N15" s="3">
        <f t="shared" si="6"/>
        <v>0</v>
      </c>
      <c r="O15" s="8">
        <f t="shared" si="41"/>
        <v>246.90000000000009</v>
      </c>
      <c r="P15" s="6">
        <v>70</v>
      </c>
      <c r="Q15" s="18">
        <v>823</v>
      </c>
      <c r="R15" s="9" t="str">
        <f t="shared" si="42"/>
        <v>YES</v>
      </c>
      <c r="S15" s="6">
        <f>Summary!$B$9</f>
        <v>36</v>
      </c>
      <c r="T15" s="6">
        <f>Summary!$B$10</f>
        <v>24</v>
      </c>
      <c r="U15" s="6" t="s">
        <v>89</v>
      </c>
      <c r="V15" s="6" t="s">
        <v>23</v>
      </c>
    </row>
    <row r="16" spans="1:22" s="6" customFormat="1" ht="15" customHeight="1" x14ac:dyDescent="0.35">
      <c r="A16" s="6" t="s">
        <v>49</v>
      </c>
      <c r="B16" s="6" t="s">
        <v>54</v>
      </c>
      <c r="C16" s="6" t="s">
        <v>55</v>
      </c>
      <c r="D16" s="3">
        <f t="shared" si="36"/>
        <v>-1</v>
      </c>
      <c r="E16" s="3">
        <v>2</v>
      </c>
      <c r="F16" s="3">
        <v>1</v>
      </c>
      <c r="G16" s="9"/>
      <c r="H16" s="3"/>
      <c r="I16" s="7">
        <f t="shared" si="37"/>
        <v>6609.6000000000022</v>
      </c>
      <c r="J16" s="7">
        <f t="shared" si="38"/>
        <v>3304.8000000000011</v>
      </c>
      <c r="K16" s="7">
        <f t="shared" si="39"/>
        <v>3304.8000000000011</v>
      </c>
      <c r="L16" s="7">
        <f t="shared" si="40"/>
        <v>0</v>
      </c>
      <c r="M16" s="3">
        <f t="shared" si="5"/>
        <v>0</v>
      </c>
      <c r="N16" s="3">
        <f t="shared" si="6"/>
        <v>0</v>
      </c>
      <c r="O16" s="8">
        <f t="shared" si="41"/>
        <v>137.70000000000005</v>
      </c>
      <c r="P16" s="6">
        <v>70</v>
      </c>
      <c r="Q16" s="18">
        <v>459</v>
      </c>
      <c r="R16" s="9" t="str">
        <f t="shared" si="42"/>
        <v>YES</v>
      </c>
      <c r="S16" s="6">
        <f>Summary!$B$9</f>
        <v>36</v>
      </c>
      <c r="T16" s="6">
        <f>Summary!$B$10</f>
        <v>24</v>
      </c>
      <c r="U16" s="6" t="s">
        <v>89</v>
      </c>
      <c r="V16" s="6" t="s">
        <v>26</v>
      </c>
    </row>
    <row r="17" spans="1:22" s="6" customFormat="1" ht="15" customHeight="1" x14ac:dyDescent="0.35">
      <c r="A17" s="6" t="s">
        <v>49</v>
      </c>
      <c r="B17" s="6" t="s">
        <v>73</v>
      </c>
      <c r="C17" s="6" t="s">
        <v>74</v>
      </c>
      <c r="D17" s="3">
        <f t="shared" si="36"/>
        <v>2</v>
      </c>
      <c r="E17" s="6">
        <v>0</v>
      </c>
      <c r="F17" s="6">
        <v>2</v>
      </c>
      <c r="G17" s="9"/>
      <c r="H17" s="3"/>
      <c r="I17" s="7">
        <f t="shared" si="37"/>
        <v>0</v>
      </c>
      <c r="J17" s="7">
        <f t="shared" si="38"/>
        <v>10656</v>
      </c>
      <c r="K17" s="7">
        <f t="shared" si="39"/>
        <v>0</v>
      </c>
      <c r="L17" s="7">
        <f t="shared" si="40"/>
        <v>10656</v>
      </c>
      <c r="M17" s="3">
        <f t="shared" si="5"/>
        <v>0</v>
      </c>
      <c r="N17" s="3">
        <f t="shared" si="6"/>
        <v>0</v>
      </c>
      <c r="O17" s="8">
        <f t="shared" si="41"/>
        <v>222</v>
      </c>
      <c r="P17" s="6">
        <v>70</v>
      </c>
      <c r="Q17" s="18">
        <v>740</v>
      </c>
      <c r="R17" s="9" t="str">
        <f t="shared" si="42"/>
        <v>NO</v>
      </c>
      <c r="S17" s="6">
        <f>Summary!$B$9</f>
        <v>36</v>
      </c>
      <c r="T17" s="6">
        <f>Summary!$B$10</f>
        <v>24</v>
      </c>
      <c r="U17" s="6" t="s">
        <v>89</v>
      </c>
      <c r="V17" s="6" t="s">
        <v>26</v>
      </c>
    </row>
    <row r="18" spans="1:22" s="6" customFormat="1" ht="15" customHeight="1" x14ac:dyDescent="0.35">
      <c r="D18" s="3"/>
      <c r="G18" s="9"/>
      <c r="H18" s="3"/>
      <c r="I18" s="7"/>
      <c r="J18" s="7"/>
      <c r="K18" s="7"/>
      <c r="L18" s="7"/>
      <c r="M18" s="3"/>
      <c r="N18" s="3"/>
      <c r="O18" s="8"/>
      <c r="Q18" s="18"/>
      <c r="R18" s="9"/>
    </row>
    <row r="19" spans="1:22" s="6" customFormat="1" ht="15" customHeight="1" x14ac:dyDescent="0.35">
      <c r="A19" s="6" t="s">
        <v>56</v>
      </c>
      <c r="B19" s="9" t="s">
        <v>57</v>
      </c>
      <c r="C19" s="6" t="s">
        <v>58</v>
      </c>
      <c r="D19" s="3">
        <f t="shared" si="36"/>
        <v>0</v>
      </c>
      <c r="E19" s="3">
        <v>30</v>
      </c>
      <c r="F19" s="3">
        <v>30</v>
      </c>
      <c r="H19" s="3"/>
      <c r="I19" s="7">
        <f t="shared" ref="I19:I24" si="43">O19*E19*T19</f>
        <v>133560</v>
      </c>
      <c r="J19" s="7">
        <f t="shared" ref="J19:J24" si="44">F19*O19*T19</f>
        <v>133560</v>
      </c>
      <c r="K19" s="7">
        <f t="shared" ref="K19:K24" si="45">IF(D19&gt;0, 0, (-1)*D19*O19*T19)</f>
        <v>0</v>
      </c>
      <c r="L19" s="7">
        <f t="shared" ref="L19:L24" si="46">IF(U19="FIXED", 0, IF(D19&lt;0, 0, D19*O19*T19))</f>
        <v>0</v>
      </c>
      <c r="M19" s="3">
        <f t="shared" si="5"/>
        <v>0</v>
      </c>
      <c r="N19" s="3">
        <f t="shared" si="6"/>
        <v>0</v>
      </c>
      <c r="O19" s="8">
        <f t="shared" si="41"/>
        <v>185.5</v>
      </c>
      <c r="P19" s="6">
        <v>50</v>
      </c>
      <c r="Q19" s="18">
        <v>371</v>
      </c>
      <c r="R19" s="9" t="str">
        <f t="shared" ref="R19:R24" si="47">IF(E19&gt;F19, "YES", "NO")</f>
        <v>NO</v>
      </c>
      <c r="S19" s="6">
        <f>Summary!$B$9</f>
        <v>36</v>
      </c>
      <c r="T19" s="6">
        <f>Summary!$B$10</f>
        <v>24</v>
      </c>
      <c r="U19" s="6" t="s">
        <v>89</v>
      </c>
      <c r="V19" s="6" t="s">
        <v>23</v>
      </c>
    </row>
    <row r="20" spans="1:22" s="6" customFormat="1" ht="15" customHeight="1" x14ac:dyDescent="0.35">
      <c r="A20" s="6" t="s">
        <v>56</v>
      </c>
      <c r="B20" s="6" t="s">
        <v>59</v>
      </c>
      <c r="C20" s="6" t="s">
        <v>60</v>
      </c>
      <c r="D20" s="3">
        <f t="shared" si="36"/>
        <v>100</v>
      </c>
      <c r="E20" s="3">
        <v>0</v>
      </c>
      <c r="F20" s="3">
        <v>100</v>
      </c>
      <c r="H20" s="3"/>
      <c r="I20" s="7">
        <f t="shared" si="43"/>
        <v>0</v>
      </c>
      <c r="J20" s="7">
        <f t="shared" si="44"/>
        <v>92400</v>
      </c>
      <c r="K20" s="7">
        <f t="shared" si="45"/>
        <v>0</v>
      </c>
      <c r="L20" s="7">
        <f t="shared" si="46"/>
        <v>92400</v>
      </c>
      <c r="M20" s="3">
        <f t="shared" si="5"/>
        <v>0</v>
      </c>
      <c r="N20" s="3">
        <f t="shared" si="6"/>
        <v>0</v>
      </c>
      <c r="O20" s="8">
        <f t="shared" si="41"/>
        <v>38.5</v>
      </c>
      <c r="P20" s="6">
        <v>50</v>
      </c>
      <c r="Q20" s="18">
        <v>77</v>
      </c>
      <c r="R20" s="9" t="str">
        <f t="shared" si="47"/>
        <v>NO</v>
      </c>
      <c r="S20" s="6">
        <f>Summary!$B$9</f>
        <v>36</v>
      </c>
      <c r="T20" s="6">
        <f>Summary!$B$10</f>
        <v>24</v>
      </c>
      <c r="U20" s="6" t="s">
        <v>89</v>
      </c>
      <c r="V20" s="6" t="s">
        <v>23</v>
      </c>
    </row>
    <row r="21" spans="1:22" s="6" customFormat="1" ht="15" customHeight="1" x14ac:dyDescent="0.35">
      <c r="A21" s="6" t="s">
        <v>56</v>
      </c>
      <c r="B21" s="6" t="s">
        <v>61</v>
      </c>
      <c r="C21" s="6" t="s">
        <v>62</v>
      </c>
      <c r="D21" s="3">
        <f t="shared" si="36"/>
        <v>-75</v>
      </c>
      <c r="E21" s="3">
        <v>100</v>
      </c>
      <c r="F21" s="3">
        <v>25</v>
      </c>
      <c r="H21" s="3"/>
      <c r="I21" s="7">
        <f t="shared" si="43"/>
        <v>368400</v>
      </c>
      <c r="J21" s="7">
        <f t="shared" si="44"/>
        <v>92100</v>
      </c>
      <c r="K21" s="7">
        <f t="shared" si="45"/>
        <v>276300</v>
      </c>
      <c r="L21" s="7">
        <f t="shared" si="46"/>
        <v>0</v>
      </c>
      <c r="M21" s="3">
        <f t="shared" si="5"/>
        <v>0</v>
      </c>
      <c r="N21" s="3">
        <f t="shared" si="6"/>
        <v>0</v>
      </c>
      <c r="O21" s="8">
        <f t="shared" si="41"/>
        <v>153.5</v>
      </c>
      <c r="P21" s="6">
        <v>50</v>
      </c>
      <c r="Q21" s="18">
        <v>307</v>
      </c>
      <c r="R21" s="9" t="str">
        <f t="shared" si="47"/>
        <v>YES</v>
      </c>
      <c r="S21" s="6">
        <f>Summary!$B$9</f>
        <v>36</v>
      </c>
      <c r="T21" s="6">
        <f>Summary!$B$10</f>
        <v>24</v>
      </c>
      <c r="U21" s="6" t="s">
        <v>89</v>
      </c>
      <c r="V21" s="6" t="s">
        <v>23</v>
      </c>
    </row>
    <row r="22" spans="1:22" s="6" customFormat="1" ht="15" customHeight="1" x14ac:dyDescent="0.35">
      <c r="A22" s="6" t="s">
        <v>56</v>
      </c>
      <c r="B22" s="9" t="s">
        <v>75</v>
      </c>
      <c r="C22" s="6" t="s">
        <v>76</v>
      </c>
      <c r="D22" s="3">
        <f t="shared" si="36"/>
        <v>0</v>
      </c>
      <c r="E22" s="3">
        <v>2</v>
      </c>
      <c r="F22" s="3">
        <v>2</v>
      </c>
      <c r="H22" s="3"/>
      <c r="I22" s="7">
        <f t="shared" si="43"/>
        <v>3072</v>
      </c>
      <c r="J22" s="7">
        <f t="shared" si="44"/>
        <v>3072</v>
      </c>
      <c r="K22" s="7">
        <f t="shared" si="45"/>
        <v>0</v>
      </c>
      <c r="L22" s="7">
        <f t="shared" si="46"/>
        <v>0</v>
      </c>
      <c r="M22" s="3">
        <f t="shared" si="5"/>
        <v>0</v>
      </c>
      <c r="N22" s="3">
        <f t="shared" si="6"/>
        <v>0</v>
      </c>
      <c r="O22" s="8">
        <f t="shared" si="41"/>
        <v>64</v>
      </c>
      <c r="P22" s="6">
        <v>50</v>
      </c>
      <c r="Q22" s="18">
        <v>128</v>
      </c>
      <c r="R22" s="9" t="str">
        <f t="shared" si="47"/>
        <v>NO</v>
      </c>
      <c r="S22" s="6">
        <f>Summary!$B$9</f>
        <v>36</v>
      </c>
      <c r="T22" s="6">
        <f>Summary!$B$10</f>
        <v>24</v>
      </c>
      <c r="U22" s="6" t="s">
        <v>89</v>
      </c>
      <c r="V22" s="6" t="s">
        <v>26</v>
      </c>
    </row>
    <row r="23" spans="1:22" s="6" customFormat="1" ht="15" customHeight="1" x14ac:dyDescent="0.35">
      <c r="A23" s="6" t="s">
        <v>56</v>
      </c>
      <c r="B23" s="6" t="s">
        <v>77</v>
      </c>
      <c r="C23" s="6" t="s">
        <v>78</v>
      </c>
      <c r="D23" s="3">
        <f t="shared" si="36"/>
        <v>1</v>
      </c>
      <c r="E23" s="3">
        <v>0</v>
      </c>
      <c r="F23" s="3">
        <v>1</v>
      </c>
      <c r="H23" s="3"/>
      <c r="I23" s="7">
        <f t="shared" si="43"/>
        <v>0</v>
      </c>
      <c r="J23" s="7">
        <f t="shared" si="44"/>
        <v>5736</v>
      </c>
      <c r="K23" s="7">
        <f t="shared" si="45"/>
        <v>0</v>
      </c>
      <c r="L23" s="7">
        <f t="shared" si="46"/>
        <v>5736</v>
      </c>
      <c r="M23" s="3">
        <f t="shared" si="5"/>
        <v>0</v>
      </c>
      <c r="N23" s="3">
        <f t="shared" si="6"/>
        <v>0</v>
      </c>
      <c r="O23" s="8">
        <f t="shared" si="41"/>
        <v>239</v>
      </c>
      <c r="P23" s="6">
        <v>50</v>
      </c>
      <c r="Q23" s="18">
        <v>478</v>
      </c>
      <c r="R23" s="9" t="str">
        <f t="shared" si="47"/>
        <v>NO</v>
      </c>
      <c r="S23" s="6">
        <f>Summary!$B$9</f>
        <v>36</v>
      </c>
      <c r="T23" s="6">
        <f>Summary!$B$10</f>
        <v>24</v>
      </c>
      <c r="U23" s="6" t="s">
        <v>89</v>
      </c>
      <c r="V23" s="6" t="s">
        <v>26</v>
      </c>
    </row>
    <row r="24" spans="1:22" s="6" customFormat="1" ht="15" customHeight="1" x14ac:dyDescent="0.35">
      <c r="A24" s="6" t="s">
        <v>56</v>
      </c>
      <c r="B24" s="6" t="s">
        <v>79</v>
      </c>
      <c r="C24" s="6" t="s">
        <v>80</v>
      </c>
      <c r="D24" s="3">
        <f t="shared" si="36"/>
        <v>-10</v>
      </c>
      <c r="E24" s="6">
        <v>10</v>
      </c>
      <c r="F24" s="6">
        <v>0</v>
      </c>
      <c r="H24" s="3"/>
      <c r="I24" s="7">
        <f t="shared" si="43"/>
        <v>10200</v>
      </c>
      <c r="J24" s="7">
        <f t="shared" si="44"/>
        <v>0</v>
      </c>
      <c r="K24" s="7">
        <f t="shared" si="45"/>
        <v>10200</v>
      </c>
      <c r="L24" s="7">
        <f t="shared" si="46"/>
        <v>0</v>
      </c>
      <c r="M24" s="3">
        <f t="shared" si="5"/>
        <v>0</v>
      </c>
      <c r="N24" s="3">
        <f t="shared" si="6"/>
        <v>0</v>
      </c>
      <c r="O24" s="8">
        <f t="shared" si="41"/>
        <v>42.5</v>
      </c>
      <c r="P24" s="6">
        <v>50</v>
      </c>
      <c r="Q24" s="18">
        <v>85</v>
      </c>
      <c r="R24" s="9" t="str">
        <f t="shared" si="47"/>
        <v>YES</v>
      </c>
      <c r="S24" s="6">
        <f>Summary!$B$9</f>
        <v>36</v>
      </c>
      <c r="T24" s="6">
        <f>Summary!$B$10</f>
        <v>24</v>
      </c>
      <c r="U24" s="6" t="s">
        <v>89</v>
      </c>
      <c r="V24" s="6" t="s">
        <v>26</v>
      </c>
    </row>
  </sheetData>
  <phoneticPr fontId="4" type="noConversion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Summary</vt:lpstr>
      <vt:lpstr>SIGMA-001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MK Barriault</dc:creator>
  <cp:lastModifiedBy>MK Barriault</cp:lastModifiedBy>
  <dcterms:created xsi:type="dcterms:W3CDTF">2025-07-06T08:13:22Z</dcterms:created>
  <dcterms:modified xsi:type="dcterms:W3CDTF">2026-05-08T01:22:49Z</dcterms:modified>
</cp:coreProperties>
</file>